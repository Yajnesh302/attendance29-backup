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6C3387A-0B8F-40A5-85D3-B24CC20A3C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an Salarywges" sheetId="1" r:id="rId1"/>
    <sheet name="Break 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C11" i="1"/>
  <c r="F11" i="1"/>
  <c r="C8" i="1" l="1"/>
  <c r="C9" i="1"/>
  <c r="C10" i="1"/>
  <c r="C12" i="1"/>
  <c r="C13" i="1"/>
  <c r="C14" i="1"/>
  <c r="C7" i="1"/>
  <c r="F8" i="1"/>
  <c r="F9" i="1"/>
  <c r="F10" i="1"/>
  <c r="F12" i="1"/>
  <c r="F13" i="1"/>
  <c r="F14" i="1"/>
  <c r="F7" i="1"/>
  <c r="D15" i="1"/>
  <c r="L42" i="1" s="1"/>
  <c r="D9" i="2"/>
  <c r="D8" i="2"/>
  <c r="D7" i="2"/>
  <c r="D10" i="2" s="1"/>
  <c r="F18" i="1" l="1"/>
  <c r="F15" i="1"/>
  <c r="F16" i="1" s="1"/>
  <c r="F19" i="1" s="1"/>
  <c r="F21" i="1" l="1"/>
  <c r="F20" i="1" l="1"/>
  <c r="F22" i="1" s="1"/>
</calcChain>
</file>

<file path=xl/sharedStrings.xml><?xml version="1.0" encoding="utf-8"?>
<sst xmlns="http://schemas.openxmlformats.org/spreadsheetml/2006/main" count="31" uniqueCount="29">
  <si>
    <t>Description</t>
  </si>
  <si>
    <t>Payment per person/per month Rs981/-PD</t>
  </si>
  <si>
    <t>No of people</t>
  </si>
  <si>
    <t>No of Days/Individual</t>
  </si>
  <si>
    <t>Total No of Days</t>
  </si>
  <si>
    <t>Sub Total</t>
  </si>
  <si>
    <t xml:space="preserve">Service Charge  @3.85% </t>
  </si>
  <si>
    <t>GST @18%</t>
  </si>
  <si>
    <t>Total Cost Per Month</t>
  </si>
  <si>
    <t>Contract No.511687761569464 Dt. 17 Oct 2025(2GM0286/KRMD)</t>
  </si>
  <si>
    <t>Manpower Outstanding Services -Data Entry Operators(Skilled)-48 No.s</t>
  </si>
  <si>
    <t>Contract Period 24 Oct 2025 to 23 Oct 2027-26 days</t>
  </si>
  <si>
    <t>M/s Vishal Manpower and Security Consultants, Mangalore</t>
  </si>
  <si>
    <t>Sl No.</t>
  </si>
  <si>
    <t>VALUE AS PER GOVT VALUE</t>
  </si>
  <si>
    <t>DEO (Skilled)</t>
  </si>
  <si>
    <t xml:space="preserve">Govt Value </t>
  </si>
  <si>
    <t>Govt Wage Rate</t>
  </si>
  <si>
    <t>Basic Wages per day</t>
  </si>
  <si>
    <t>EPF @ 12% of Basic Wages</t>
  </si>
  <si>
    <t>EPF ELDI @ 0.5% of Basic Wages</t>
  </si>
  <si>
    <t>EPF Admin @ 0.5% of Basic Wages</t>
  </si>
  <si>
    <t>Gross Salary/Day</t>
  </si>
  <si>
    <t>Total No of People</t>
  </si>
  <si>
    <t>Total No. of 
working days</t>
  </si>
  <si>
    <t>Payment for the period 01 May 2026 to 31 May 2026</t>
  </si>
  <si>
    <t>EPF @13%for 2 person</t>
  </si>
  <si>
    <t>EPF @13%for 46 persons</t>
  </si>
  <si>
    <t>981*1195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</si>
</sst>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504D"/>
      <name val="Calibri"/>
      <family val="2"/>
    </font>
    <font>
      <b/>
      <sz val="11"/>
      <color rgb="FF000000"/>
      <name val="Calibri"/>
      <family val="2"/>
    </font>
    <font>
      <b/>
      <sz val="10.5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2" fontId="1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H12" sqref="H12"/>
    </sheetView>
  </sheetViews>
  <sheetFormatPr defaultRowHeight="14.25" x14ac:dyDescent="0.2"/>
  <cols>
    <col min="1" max="1" width="4.125" customWidth="1"/>
    <col min="2" max="2" width="11" style="10" customWidth="1"/>
    <col min="3" max="3" width="19.125" customWidth="1"/>
    <col min="4" max="4" width="8.5" customWidth="1"/>
    <col min="5" max="5" width="15.375" customWidth="1"/>
    <col min="6" max="6" width="18.375" customWidth="1"/>
    <col min="7" max="7" width="23.25" customWidth="1"/>
    <col min="13" max="13" width="10.375" bestFit="1" customWidth="1"/>
  </cols>
  <sheetData>
    <row r="1" spans="1:6" ht="15" x14ac:dyDescent="0.25">
      <c r="A1" s="18" t="s">
        <v>9</v>
      </c>
      <c r="B1" s="19"/>
      <c r="C1" s="19"/>
      <c r="D1" s="19"/>
      <c r="E1" s="19"/>
      <c r="F1" s="20"/>
    </row>
    <row r="2" spans="1:6" ht="15" x14ac:dyDescent="0.25">
      <c r="A2" s="18" t="s">
        <v>10</v>
      </c>
      <c r="B2" s="19"/>
      <c r="C2" s="19"/>
      <c r="D2" s="19"/>
      <c r="E2" s="19"/>
      <c r="F2" s="20"/>
    </row>
    <row r="3" spans="1:6" ht="15" x14ac:dyDescent="0.25">
      <c r="A3" s="18" t="s">
        <v>11</v>
      </c>
      <c r="B3" s="19"/>
      <c r="C3" s="19"/>
      <c r="D3" s="19"/>
      <c r="E3" s="19"/>
      <c r="F3" s="20"/>
    </row>
    <row r="4" spans="1:6" ht="15" x14ac:dyDescent="0.25">
      <c r="A4" s="18" t="s">
        <v>12</v>
      </c>
      <c r="B4" s="19"/>
      <c r="C4" s="19"/>
      <c r="D4" s="19"/>
      <c r="E4" s="19"/>
      <c r="F4" s="20"/>
    </row>
    <row r="5" spans="1:6" ht="15" x14ac:dyDescent="0.25">
      <c r="A5" s="18" t="s">
        <v>25</v>
      </c>
      <c r="B5" s="19"/>
      <c r="C5" s="19"/>
      <c r="D5" s="19"/>
      <c r="E5" s="19"/>
      <c r="F5" s="20"/>
    </row>
    <row r="6" spans="1:6" s="15" customFormat="1" ht="45" x14ac:dyDescent="0.2">
      <c r="A6" s="12" t="s">
        <v>13</v>
      </c>
      <c r="B6" s="13" t="s">
        <v>0</v>
      </c>
      <c r="C6" s="12" t="s">
        <v>1</v>
      </c>
      <c r="D6" s="12" t="s">
        <v>2</v>
      </c>
      <c r="E6" s="12" t="s">
        <v>3</v>
      </c>
      <c r="F6" s="14" t="s">
        <v>24</v>
      </c>
    </row>
    <row r="7" spans="1:6" x14ac:dyDescent="0.2">
      <c r="A7" s="2">
        <v>1</v>
      </c>
      <c r="B7" s="9">
        <v>981</v>
      </c>
      <c r="C7" s="2">
        <f>E7*981</f>
        <v>25506</v>
      </c>
      <c r="D7" s="2">
        <v>36</v>
      </c>
      <c r="E7" s="2">
        <v>26</v>
      </c>
      <c r="F7" s="2">
        <f>E7*D7</f>
        <v>936</v>
      </c>
    </row>
    <row r="8" spans="1:6" x14ac:dyDescent="0.2">
      <c r="A8" s="2">
        <v>2</v>
      </c>
      <c r="B8" s="9"/>
      <c r="C8" s="2">
        <f t="shared" ref="C8:C14" si="0">E8*981</f>
        <v>24525</v>
      </c>
      <c r="D8" s="2">
        <v>2</v>
      </c>
      <c r="E8" s="2">
        <v>25</v>
      </c>
      <c r="F8" s="2">
        <f t="shared" ref="F8:F14" si="1">E8*D8</f>
        <v>50</v>
      </c>
    </row>
    <row r="9" spans="1:6" x14ac:dyDescent="0.2">
      <c r="A9" s="2">
        <v>3</v>
      </c>
      <c r="B9" s="9"/>
      <c r="C9" s="2">
        <f t="shared" si="0"/>
        <v>23544</v>
      </c>
      <c r="D9" s="2">
        <v>5</v>
      </c>
      <c r="E9" s="2">
        <v>24</v>
      </c>
      <c r="F9" s="2">
        <f t="shared" si="1"/>
        <v>120</v>
      </c>
    </row>
    <row r="10" spans="1:6" x14ac:dyDescent="0.2">
      <c r="A10" s="2">
        <v>4</v>
      </c>
      <c r="B10" s="9"/>
      <c r="C10" s="2">
        <f t="shared" si="0"/>
        <v>22563</v>
      </c>
      <c r="D10" s="2">
        <v>1</v>
      </c>
      <c r="E10" s="2">
        <v>23</v>
      </c>
      <c r="F10" s="2">
        <f t="shared" si="1"/>
        <v>23</v>
      </c>
    </row>
    <row r="11" spans="1:6" x14ac:dyDescent="0.2">
      <c r="A11" s="2">
        <v>5</v>
      </c>
      <c r="B11" s="9"/>
      <c r="C11" s="2">
        <f t="shared" si="0"/>
        <v>21582</v>
      </c>
      <c r="D11" s="2">
        <v>1</v>
      </c>
      <c r="E11" s="2">
        <v>22</v>
      </c>
      <c r="F11" s="2">
        <f t="shared" si="1"/>
        <v>22</v>
      </c>
    </row>
    <row r="12" spans="1:6" x14ac:dyDescent="0.2">
      <c r="A12" s="2">
        <v>7</v>
      </c>
      <c r="B12" s="9"/>
      <c r="C12" s="2">
        <f t="shared" si="0"/>
        <v>19620</v>
      </c>
      <c r="D12" s="2">
        <v>1</v>
      </c>
      <c r="E12" s="2">
        <v>20</v>
      </c>
      <c r="F12" s="2">
        <f t="shared" si="1"/>
        <v>20</v>
      </c>
    </row>
    <row r="13" spans="1:6" x14ac:dyDescent="0.2">
      <c r="A13" s="2">
        <v>8</v>
      </c>
      <c r="B13" s="9"/>
      <c r="C13" s="2">
        <f t="shared" si="0"/>
        <v>14715</v>
      </c>
      <c r="D13" s="2">
        <v>1</v>
      </c>
      <c r="E13" s="2">
        <v>15</v>
      </c>
      <c r="F13" s="2">
        <f t="shared" si="1"/>
        <v>15</v>
      </c>
    </row>
    <row r="14" spans="1:6" x14ac:dyDescent="0.2">
      <c r="A14" s="2">
        <v>9</v>
      </c>
      <c r="B14" s="9"/>
      <c r="C14" s="2">
        <f t="shared" si="0"/>
        <v>8829</v>
      </c>
      <c r="D14" s="2">
        <v>1</v>
      </c>
      <c r="E14" s="2">
        <v>9</v>
      </c>
      <c r="F14" s="2">
        <f t="shared" si="1"/>
        <v>9</v>
      </c>
    </row>
    <row r="15" spans="1:6" ht="15" x14ac:dyDescent="0.25">
      <c r="A15" s="2"/>
      <c r="B15" s="9"/>
      <c r="C15" s="11" t="s">
        <v>23</v>
      </c>
      <c r="D15" s="11">
        <f>SUM(D7:D14)</f>
        <v>48</v>
      </c>
      <c r="E15" s="1" t="s">
        <v>4</v>
      </c>
      <c r="F15" s="2">
        <f>SUM(F7:F14)</f>
        <v>1195</v>
      </c>
    </row>
    <row r="16" spans="1:6" ht="15" x14ac:dyDescent="0.25">
      <c r="A16" s="2"/>
      <c r="B16" s="9"/>
      <c r="C16" s="17" t="s">
        <v>28</v>
      </c>
      <c r="D16" s="17"/>
      <c r="E16" s="17"/>
      <c r="F16" s="3">
        <f>B7*F15</f>
        <v>1172295</v>
      </c>
    </row>
    <row r="17" spans="1:13" x14ac:dyDescent="0.2">
      <c r="A17" s="2"/>
      <c r="B17" s="9"/>
      <c r="C17" s="2"/>
      <c r="D17" s="21" t="s">
        <v>27</v>
      </c>
      <c r="E17" s="22"/>
      <c r="F17" s="3">
        <f>15000*13%*46</f>
        <v>89700</v>
      </c>
    </row>
    <row r="18" spans="1:13" x14ac:dyDescent="0.2">
      <c r="A18" s="2"/>
      <c r="B18" s="9"/>
      <c r="C18" s="2"/>
      <c r="D18" s="21" t="s">
        <v>26</v>
      </c>
      <c r="E18" s="22"/>
      <c r="F18" s="2">
        <f>(C13+C14)*13%</f>
        <v>3060.7200000000003</v>
      </c>
    </row>
    <row r="19" spans="1:13" ht="15" x14ac:dyDescent="0.25">
      <c r="A19" s="2"/>
      <c r="B19" s="9"/>
      <c r="C19" s="2"/>
      <c r="D19" s="18" t="s">
        <v>5</v>
      </c>
      <c r="E19" s="20"/>
      <c r="F19" s="4">
        <f>SUM(F16:F18)</f>
        <v>1265055.72</v>
      </c>
    </row>
    <row r="20" spans="1:13" x14ac:dyDescent="0.2">
      <c r="A20" s="2"/>
      <c r="B20" s="9"/>
      <c r="C20" s="2"/>
      <c r="D20" s="21" t="s">
        <v>6</v>
      </c>
      <c r="E20" s="22"/>
      <c r="F20" s="3">
        <f>F19*3.85%</f>
        <v>48704.645219999999</v>
      </c>
    </row>
    <row r="21" spans="1:13" x14ac:dyDescent="0.2">
      <c r="A21" s="2"/>
      <c r="B21" s="9"/>
      <c r="C21" s="2"/>
      <c r="D21" s="2"/>
      <c r="E21" s="2" t="s">
        <v>7</v>
      </c>
      <c r="F21" s="3">
        <f>F19*18%</f>
        <v>227710.02959999998</v>
      </c>
    </row>
    <row r="22" spans="1:13" ht="15" x14ac:dyDescent="0.25">
      <c r="A22" s="2"/>
      <c r="B22" s="9"/>
      <c r="C22" s="2"/>
      <c r="D22" s="18" t="s">
        <v>8</v>
      </c>
      <c r="E22" s="20"/>
      <c r="F22" s="4">
        <f>SUM(F19:F21)</f>
        <v>1541470.39482</v>
      </c>
    </row>
    <row r="26" spans="1:13" x14ac:dyDescent="0.2">
      <c r="M26" s="16"/>
    </row>
    <row r="29" spans="1:13" x14ac:dyDescent="0.2">
      <c r="M29" s="16"/>
    </row>
    <row r="42" spans="12:12" x14ac:dyDescent="0.2">
      <c r="L42">
        <f>SUM(D15)</f>
        <v>48</v>
      </c>
    </row>
  </sheetData>
  <mergeCells count="11">
    <mergeCell ref="D22:E22"/>
    <mergeCell ref="D20:E20"/>
    <mergeCell ref="D19:E19"/>
    <mergeCell ref="D18:E18"/>
    <mergeCell ref="D17:E17"/>
    <mergeCell ref="C16:E16"/>
    <mergeCell ref="A1:F1"/>
    <mergeCell ref="A2:F2"/>
    <mergeCell ref="A3:F3"/>
    <mergeCell ref="A4:F4"/>
    <mergeCell ref="A5:F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0"/>
  <sheetViews>
    <sheetView workbookViewId="0">
      <selection activeCell="F18" sqref="F18"/>
    </sheetView>
  </sheetViews>
  <sheetFormatPr defaultRowHeight="14.25" x14ac:dyDescent="0.2"/>
  <cols>
    <col min="3" max="3" width="29.25" customWidth="1"/>
    <col min="4" max="4" width="24.75" customWidth="1"/>
  </cols>
  <sheetData>
    <row r="2" spans="2:4" ht="15" x14ac:dyDescent="0.25">
      <c r="B2" s="23" t="s">
        <v>14</v>
      </c>
      <c r="C2" s="23"/>
      <c r="D2" s="23"/>
    </row>
    <row r="3" spans="2:4" ht="15" x14ac:dyDescent="0.25">
      <c r="B3" s="24" t="s">
        <v>15</v>
      </c>
      <c r="C3" s="25"/>
      <c r="D3" s="26"/>
    </row>
    <row r="4" spans="2:4" x14ac:dyDescent="0.2">
      <c r="B4" s="5" t="s">
        <v>13</v>
      </c>
      <c r="C4" s="5" t="s">
        <v>0</v>
      </c>
      <c r="D4" s="5" t="s">
        <v>16</v>
      </c>
    </row>
    <row r="5" spans="2:4" ht="15" x14ac:dyDescent="0.25">
      <c r="B5" s="6"/>
      <c r="C5" s="7" t="s">
        <v>17</v>
      </c>
      <c r="D5" s="8"/>
    </row>
    <row r="6" spans="2:4" ht="15" x14ac:dyDescent="0.25">
      <c r="B6" s="6">
        <v>1</v>
      </c>
      <c r="C6" s="8" t="s">
        <v>18</v>
      </c>
      <c r="D6" s="8">
        <v>981</v>
      </c>
    </row>
    <row r="7" spans="2:4" ht="15" x14ac:dyDescent="0.25">
      <c r="B7" s="6">
        <v>2</v>
      </c>
      <c r="C7" s="8" t="s">
        <v>19</v>
      </c>
      <c r="D7" s="8">
        <f>ROUND((15000*0.12)/26,2)</f>
        <v>69.23</v>
      </c>
    </row>
    <row r="8" spans="2:4" ht="15" x14ac:dyDescent="0.25">
      <c r="B8" s="6">
        <v>3</v>
      </c>
      <c r="C8" s="8" t="s">
        <v>20</v>
      </c>
      <c r="D8" s="8">
        <f>ROUND((15000*0.005)/26,2)</f>
        <v>2.88</v>
      </c>
    </row>
    <row r="9" spans="2:4" ht="15" x14ac:dyDescent="0.25">
      <c r="B9" s="6">
        <v>4</v>
      </c>
      <c r="C9" s="8" t="s">
        <v>21</v>
      </c>
      <c r="D9" s="8">
        <f>ROUND((15000*0.005)/26,2)</f>
        <v>2.88</v>
      </c>
    </row>
    <row r="10" spans="2:4" ht="15" x14ac:dyDescent="0.25">
      <c r="B10" s="6">
        <v>5</v>
      </c>
      <c r="C10" s="8" t="s">
        <v>22</v>
      </c>
      <c r="D10" s="7">
        <f>ROUND(SUM(D6:D9),2)</f>
        <v>1055.99</v>
      </c>
    </row>
  </sheetData>
  <mergeCells count="2"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Salarywges</vt:lpstr>
      <vt:lpstr>Break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Abraham</dc:creator>
  <cp:lastModifiedBy>LENOVO</cp:lastModifiedBy>
  <cp:lastPrinted>2026-06-03T06:34:23Z</cp:lastPrinted>
  <dcterms:created xsi:type="dcterms:W3CDTF">2026-02-01T15:18:09Z</dcterms:created>
  <dcterms:modified xsi:type="dcterms:W3CDTF">2026-06-21T14:39:06Z</dcterms:modified>
</cp:coreProperties>
</file>